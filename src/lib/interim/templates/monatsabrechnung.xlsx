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2780" windowHeight="14540"/>
  </bookViews>
  <sheets>
    <sheet sheetId="4" name="Honorar" state="visible" r:id="rId4"/>
  </sheets>
  <definedNames>
    <definedName name="_xlnm.Print_Area" localSheetId="0">'Honorar'!$A1:$E70</definedName>
  </definedNames>
  <calcPr calcId="171027"/>
</workbook>
</file>

<file path=xl/sharedStrings.xml><?xml version="1.0" encoding="utf-8"?>
<sst xmlns="http://schemas.openxmlformats.org/spreadsheetml/2006/main" count="39" uniqueCount="38">
  <si>
    <t>Monatsabrechnung Erziehungsbeistandschaft</t>
  </si>
  <si>
    <t>Familienname des Kindes/Jugendlichen</t>
  </si>
  <si>
    <t>Vorname</t>
  </si>
  <si>
    <t>Straße, Hausnummer</t>
  </si>
  <si>
    <t>PLZ, Ort</t>
  </si>
  <si>
    <t>Sachbearbeiter(in) SPFD</t>
  </si>
  <si>
    <t>Abrechnungsmonat</t>
  </si>
  <si>
    <t xml:space="preserve">Bewilligte Wochenstunden
lt. Bescheid</t>
  </si>
  <si>
    <t xml:space="preserve">Tatsächlich geleistete Stunden 
im Abrechnungsmonat</t>
  </si>
  <si>
    <t>Honorar pro Stunde (lt. Rahmenvertrag)</t>
  </si>
  <si>
    <t>Leistungserbringer(in)</t>
  </si>
  <si>
    <t>Auflistung der erbrachten Leistungen</t>
  </si>
  <si>
    <t>Datum</t>
  </si>
  <si>
    <t xml:space="preserve">Uhrzeit
Beginn</t>
  </si>
  <si>
    <t xml:space="preserve">Uhrzeit
Ende</t>
  </si>
  <si>
    <t>Std.</t>
  </si>
  <si>
    <t>Maßnahmen - Inhalte - Vereinbarungen - Besonderes</t>
  </si>
  <si>
    <t>Bearbeitungshinweise:</t>
  </si>
  <si>
    <r>
      <t xml:space="preserve">1. Diese Hinweise werden </t>
    </r>
    <r>
      <rPr>
        <b/>
        <color indexed="8"/>
        <family val="2"/>
        <sz val="11"/>
        <rFont val="Arial"/>
      </rPr>
      <t>NICHT</t>
    </r>
    <r>
      <rPr>
        <color theme="1"/>
        <family val="2"/>
        <sz val="11"/>
        <rFont val="Arial"/>
      </rPr>
      <t xml:space="preserve"> ausgedruckt!</t>
    </r>
  </si>
  <si>
    <t>2. In allen grauen Feldern können Eintragungen gemacht werden.</t>
  </si>
  <si>
    <r>
      <t xml:space="preserve">3. Unbedingt </t>
    </r>
    <r>
      <rPr>
        <b/>
        <color indexed="8"/>
        <family val="2"/>
        <sz val="11"/>
        <rFont val="Arial"/>
      </rPr>
      <t>Honorar pro Stunde</t>
    </r>
    <r>
      <rPr>
        <color theme="1"/>
        <family val="2"/>
        <sz val="11"/>
        <rFont val="Arial"/>
      </rPr>
      <t xml:space="preserve"> eintragen!</t>
    </r>
  </si>
  <si>
    <t xml:space="preserve">4. In der Spalte "Uhrzeit Beginn bzw. Ende" ist darauf zu achten, </t>
  </si>
  <si>
    <r>
      <t xml:space="preserve">dass zwischen Stunden und Minuten ein </t>
    </r>
    <r>
      <rPr>
        <b/>
        <color indexed="8"/>
        <family val="2"/>
        <sz val="11"/>
        <rFont val="Arial"/>
      </rPr>
      <t>Doppelpunkt</t>
    </r>
    <r>
      <rPr>
        <color theme="1"/>
        <family val="2"/>
        <sz val="11"/>
        <rFont val="Arial"/>
      </rPr>
      <t xml:space="preserve"> eingetragen wird</t>
    </r>
  </si>
  <si>
    <r>
      <t xml:space="preserve"> z.B. 10</t>
    </r>
    <r>
      <rPr>
        <b/>
        <color indexed="8"/>
        <family val="2"/>
        <sz val="11"/>
        <rFont val="Arial"/>
      </rPr>
      <t>:</t>
    </r>
    <r>
      <rPr>
        <color theme="1"/>
        <family val="2"/>
        <sz val="11"/>
        <rFont val="Arial"/>
      </rPr>
      <t>00 oder 9</t>
    </r>
    <r>
      <rPr>
        <b/>
        <color indexed="8"/>
        <family val="2"/>
        <sz val="11"/>
        <rFont val="Arial"/>
      </rPr>
      <t>:</t>
    </r>
    <r>
      <rPr>
        <color theme="1"/>
        <family val="2"/>
        <sz val="11"/>
        <rFont val="Arial"/>
      </rPr>
      <t>45.</t>
    </r>
  </si>
  <si>
    <t xml:space="preserve">5. Entragungen in der Spalte "Maßnahmen - Inhalte…" können über mehrere </t>
  </si>
  <si>
    <t xml:space="preserve"> Zeilen gehen und dabei wird die Zeilenhöhe entsprechend angepasst.</t>
  </si>
  <si>
    <r>
      <t xml:space="preserve">6. Nur </t>
    </r>
    <r>
      <rPr>
        <b/>
        <color indexed="8"/>
        <family val="2"/>
        <sz val="11"/>
        <rFont val="Arial"/>
      </rPr>
      <t>ganze Kilometer</t>
    </r>
    <r>
      <rPr>
        <color theme="1"/>
        <family val="2"/>
        <sz val="11"/>
        <rFont val="Arial"/>
      </rPr>
      <t xml:space="preserve"> eingeben, z.B. 7!</t>
    </r>
  </si>
  <si>
    <t xml:space="preserve">7. Die geleisteten Stunden, Kilometergeld und monatliches Honorar werden </t>
  </si>
  <si>
    <t>automatisch berechnet.</t>
  </si>
  <si>
    <r>
      <t xml:space="preserve">8. Das Beispiel bei der Auflistung der erbrachten Leistungen </t>
    </r>
    <r>
      <rPr>
        <b/>
        <color indexed="8"/>
        <family val="2"/>
        <sz val="11"/>
        <rFont val="Arial"/>
      </rPr>
      <t>muss überschrieben werden</t>
    </r>
    <r>
      <rPr>
        <color theme="1"/>
        <family val="2"/>
        <sz val="11"/>
        <rFont val="Arial"/>
      </rPr>
      <t>!</t>
    </r>
  </si>
  <si>
    <t xml:space="preserve">9. Bitte beachten Sie, dass das Dokument mit einem Passwort geschützten Blattschutz versehen </t>
  </si>
  <si>
    <t xml:space="preserve">    ist, um ein versehentliches überschreiben der eingegeben Berechnungsformeln zu verhindern!</t>
  </si>
  <si>
    <t>Änderungen der Bankverbindung bitte im Amt melden!</t>
  </si>
  <si>
    <t>Berechnung Honorar:</t>
  </si>
  <si>
    <t>Stunden gesamt:</t>
  </si>
  <si>
    <t>Stundenhonorar:</t>
  </si>
  <si>
    <t>Honorar:</t>
  </si>
  <si>
    <t>Unterschrift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</si>
</sst>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mmmm yyyy"/>
    <numFmt numFmtId="166" formatCode="#,##0.00 &quot;€&quot;;[Red]-#,##0.00 &quot;€&quot;"/>
    <numFmt numFmtId="167" formatCode="_-* #,##0.00 &quot;€&quot;_-;-* #,##0.00 &quot;€&quot;_-;_-* &quot;-&quot;?? &quot;€&quot;_-;_-@_-"/>
    <numFmt numFmtId="168" formatCode="h:mm;@"/>
  </numFmts>
  <fonts count="6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color theme="1"/>
      <family val="2"/>
      <sz val="14"/>
      <name val="Arial"/>
    </font>
    <font>
      <b/>
      <color theme="1"/>
      <family val="2"/>
      <sz val="11"/>
      <name val="Arial"/>
    </font>
    <font>
      <b/>
      <u/>
      <color theme="1"/>
      <family val="2"/>
      <sz val="11"/>
      <name val="Arial"/>
    </font>
    <font>
      <b/>
      <u/>
      <color theme="1"/>
      <family val="2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0" borderId="0" xfId="0" applyFont="1"/>
    <xf numFmtId="0" fontId="1" fillId="2" borderId="0" xfId="0" applyFont="1" applyFill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17" fontId="1" fillId="2" borderId="0" xfId="0" applyNumberFormat="1" applyFont="1" applyFill="1" applyAlignment="1" applyProtection="1">
      <alignment horizontal="left"/>
      <protection locked="0"/>
    </xf>
    <xf numFmtId="165" fontId="1" fillId="2" borderId="0" xfId="0" applyNumberFormat="1" applyFont="1" applyFill="1" applyAlignment="1" applyProtection="1">
      <alignment horizontal="left"/>
      <protection locked="0"/>
    </xf>
    <xf numFmtId="0" fontId="3" fillId="0" borderId="0" xfId="0" applyFont="1" applyAlignment="1">
      <alignment horizontal="left" wrapText="1"/>
    </xf>
    <xf numFmtId="0" fontId="1" fillId="2" borderId="0" xfId="0" applyFont="1" applyFill="1" applyAlignment="1" applyProtection="1">
      <alignment horizontal="left" vertical="center"/>
      <protection locked="0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14" fontId="1" fillId="2" borderId="1" xfId="0" applyNumberFormat="1" applyFont="1" applyFill="1" applyBorder="1" applyAlignment="1" applyProtection="1">
      <alignment horizontal="left" vertical="top"/>
      <protection locked="0"/>
    </xf>
    <xf numFmtId="168" fontId="1" fillId="2" borderId="1" xfId="0" applyNumberFormat="1" applyFont="1" applyFill="1" applyBorder="1" applyAlignment="1" applyProtection="1">
      <alignment horizontal="center" vertical="top"/>
      <protection locked="0"/>
    </xf>
    <xf numFmtId="2" fontId="3" fillId="0" borderId="1" xfId="0" applyNumberFormat="1" applyFont="1" applyBorder="1" applyAlignment="1" applyProtection="1">
      <alignment horizontal="center" vertical="top"/>
      <protection hidden="1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>
      <alignment horizontal="left" indent="1"/>
    </xf>
    <xf numFmtId="14" fontId="1" fillId="0" borderId="2" xfId="0" applyNumberFormat="1" applyFont="1" applyBorder="1" applyAlignment="1">
      <alignment horizontal="left" vertical="top"/>
    </xf>
    <xf numFmtId="168" fontId="1" fillId="0" borderId="2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14" fontId="1" fillId="0" borderId="0" xfId="0" applyNumberFormat="1" applyFont="1" applyAlignment="1">
      <alignment horizontal="left" vertical="top"/>
    </xf>
    <xf numFmtId="168" fontId="1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 wrapText="1"/>
    </xf>
    <xf numFmtId="49" fontId="3" fillId="0" borderId="0" xfId="0" applyNumberFormat="1" applyFont="1"/>
    <xf numFmtId="2" fontId="1" fillId="0" borderId="0" xfId="0" applyNumberFormat="1" applyFont="1" applyProtection="1">
      <protection hidden="1"/>
    </xf>
    <xf numFmtId="0" fontId="1" fillId="0" borderId="3" xfId="0" applyFont="1" applyBorder="1"/>
    <xf numFmtId="167" fontId="1" fillId="0" borderId="3" xfId="0" applyNumberFormat="1" applyFont="1" applyBorder="1" applyAlignment="1" applyProtection="1">
      <alignment horizontal="center"/>
      <protection hidden="1"/>
    </xf>
    <xf numFmtId="167" fontId="3" fillId="0" borderId="4" xfId="0" applyNumberFormat="1" applyFont="1" applyBorder="1" applyAlignment="1" applyProtection="1">
      <alignment horizontal="center"/>
      <protection hidden="1"/>
    </xf>
    <xf numFmtId="0" fontId="1" fillId="3" borderId="3" xfId="0" applyFont="1" applyFill="1" applyBorder="1" applyProtection="1">
      <protection locked="0"/>
    </xf>
    <xf numFmtId="0" fontId="1" fillId="2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 showGridLines="0" zoomScale="100" zoomScaleNormal="100">
      <selection activeCell="C35" sqref="C35"/>
    </sheetView>
  </sheetViews>
  <sheetFormatPr defaultRowHeight="14" outlineLevelRow="0" outlineLevelCol="0" x14ac:dyDescent="0.3" customHeight="1"/>
  <cols>
    <col min="1" max="1" width="11.08203125" customWidth="1"/>
    <col min="2" max="3" width="10.58203125" customWidth="1"/>
    <col min="4" max="4" width="8" style="1" customWidth="1"/>
    <col min="5" max="5" width="36.58203125" customWidth="1"/>
    <col min="6" max="6" width="8.58203125" customWidth="1"/>
  </cols>
  <sheetData>
    <row r="1" ht="18" customHeight="1" spans="1:1" x14ac:dyDescent="0.25">
      <c r="A1" s="2" t="s">
        <v>0</v>
      </c>
    </row>
    <row r="4" spans="1:5" x14ac:dyDescent="0.25">
      <c r="A4" s="3" t="s">
        <v>1</v>
      </c>
      <c r="E4" s="4"/>
    </row>
    <row r="5" ht="6" customHeight="1" x14ac:dyDescent="0.25"/>
    <row r="6" spans="1:5" x14ac:dyDescent="0.25">
      <c r="A6" s="5" t="s">
        <v>2</v>
      </c>
      <c r="B6" s="5"/>
      <c r="C6" s="5"/>
      <c r="D6" s="5"/>
      <c r="E6" s="4"/>
    </row>
    <row r="7" ht="6" customHeight="1" x14ac:dyDescent="0.25"/>
    <row r="8" spans="1:5" x14ac:dyDescent="0.25">
      <c r="A8" s="5" t="s">
        <v>3</v>
      </c>
      <c r="B8" s="5"/>
      <c r="C8" s="5"/>
      <c r="D8" s="5"/>
      <c r="E8" s="4"/>
    </row>
    <row r="9" ht="6" customHeight="1" x14ac:dyDescent="0.25"/>
    <row r="10" spans="1:5" x14ac:dyDescent="0.25">
      <c r="A10" s="5" t="s">
        <v>4</v>
      </c>
      <c r="B10" s="5"/>
      <c r="C10" s="5"/>
      <c r="D10" s="5"/>
      <c r="E10" s="4"/>
    </row>
    <row r="11" ht="6" customHeight="1" x14ac:dyDescent="0.25"/>
    <row r="12" spans="1:5" x14ac:dyDescent="0.25">
      <c r="A12" s="5"/>
      <c r="B12" s="5"/>
      <c r="C12" s="5"/>
      <c r="D12" s="5"/>
      <c r="E12" s="4"/>
    </row>
    <row r="13" ht="6" customHeight="1" x14ac:dyDescent="0.25"/>
    <row r="14" spans="1:5" x14ac:dyDescent="0.25">
      <c r="A14" s="5" t="s">
        <v>5</v>
      </c>
      <c r="B14" s="5"/>
      <c r="C14" s="5"/>
      <c r="D14" s="5"/>
      <c r="E14" s="6"/>
    </row>
    <row r="15" ht="6" customHeight="1" x14ac:dyDescent="0.25"/>
    <row r="16" spans="1:5" x14ac:dyDescent="0.25">
      <c r="A16" s="5" t="s">
        <v>6</v>
      </c>
      <c r="B16" s="5"/>
      <c r="C16" s="5"/>
      <c r="D16" s="5"/>
      <c r="E16" s="7"/>
    </row>
    <row r="17" ht="6" customHeight="1" x14ac:dyDescent="0.25"/>
    <row r="18" ht="30" customHeight="1" spans="1:5" x14ac:dyDescent="0.25">
      <c r="A18" s="8" t="s">
        <v>7</v>
      </c>
      <c r="B18" s="8"/>
      <c r="C18" s="8"/>
      <c r="D18" s="8"/>
      <c r="E18" s="9"/>
    </row>
    <row r="19" ht="6" customHeight="1" x14ac:dyDescent="0.25"/>
    <row r="20" ht="30" customHeight="1" spans="1:5" x14ac:dyDescent="0.25">
      <c r="A20" s="8" t="s">
        <v>8</v>
      </c>
      <c r="B20" s="8"/>
      <c r="C20" s="8"/>
      <c r="D20" s="8"/>
      <c r="E20" s="10">
        <f>C61</f>
        <v>24.25</v>
      </c>
    </row>
    <row r="21" ht="6" customHeight="1" x14ac:dyDescent="0.25"/>
    <row r="22" spans="1:5" s="11" customFormat="1" x14ac:dyDescent="0.25">
      <c r="A22" s="5" t="s">
        <v>9</v>
      </c>
      <c r="B22" s="5"/>
      <c r="C22" s="5"/>
      <c r="D22" s="5"/>
      <c r="E22" s="12"/>
    </row>
    <row r="23" ht="6" customHeight="1" x14ac:dyDescent="0.25"/>
    <row r="24" spans="1:5" x14ac:dyDescent="0.25">
      <c r="A24" s="5" t="s">
        <v>10</v>
      </c>
      <c r="B24" s="5"/>
      <c r="C24" s="5"/>
      <c r="D24" s="5"/>
      <c r="E24" s="13"/>
    </row>
    <row r="27" spans="1:1" x14ac:dyDescent="0.25">
      <c r="A27" s="14" t="s">
        <v>11</v>
      </c>
    </row>
    <row r="28" spans="1:1" x14ac:dyDescent="0.25">
      <c r="A28" s="15"/>
    </row>
    <row r="29" ht="28" customHeight="1" spans="1:7" x14ac:dyDescent="0.25">
      <c r="A29" s="16" t="s">
        <v>12</v>
      </c>
      <c r="B29" s="17" t="s">
        <v>13</v>
      </c>
      <c r="C29" s="17" t="s">
        <v>14</v>
      </c>
      <c r="D29" s="18" t="s">
        <v>15</v>
      </c>
      <c r="E29" s="19" t="s">
        <v>16</v>
      </c>
      <c r="G29" s="20" t="s">
        <v>17</v>
      </c>
    </row>
    <row r="30" ht="112" customHeight="1" spans="1:5" x14ac:dyDescent="0.25">
      <c r="A30" s="21"/>
      <c r="B30" s="22"/>
      <c r="C30" s="22"/>
      <c r="D30" s="23">
        <f>MOD(C30-B30,1)*24</f>
        <v>3.500000000000001</v>
      </c>
      <c r="E30" s="24"/>
    </row>
    <row r="31" ht="126" customHeight="1" spans="1:7" x14ac:dyDescent="0.25">
      <c r="A31" s="21"/>
      <c r="B31" s="22"/>
      <c r="C31" s="22"/>
      <c r="D31" s="23">
        <f t="shared" ref="D31:D54" si="0">MOD(C31-B31,1)*24</f>
        <v>3.249999999999999</v>
      </c>
      <c r="E31" s="24"/>
      <c r="G31" t="s">
        <v>18</v>
      </c>
    </row>
    <row r="32" ht="42" customHeight="1" spans="1:7" x14ac:dyDescent="0.25">
      <c r="A32" s="21"/>
      <c r="B32" s="22"/>
      <c r="C32" s="22"/>
      <c r="D32" s="23">
        <f t="shared" si="0"/>
        <v>2.5000000000000018</v>
      </c>
      <c r="E32" s="24"/>
      <c r="G32" t="s">
        <v>19</v>
      </c>
    </row>
    <row r="33" ht="56" customHeight="1" spans="1:7" x14ac:dyDescent="0.25">
      <c r="A33" s="21"/>
      <c r="B33" s="22"/>
      <c r="C33" s="22"/>
      <c r="D33" s="23">
        <f t="shared" si="0"/>
        <v>2.9999999999999987</v>
      </c>
      <c r="E33" s="24"/>
      <c r="G33" t="s">
        <v>20</v>
      </c>
    </row>
    <row r="34" ht="56" customHeight="1" spans="1:7" x14ac:dyDescent="0.25">
      <c r="A34" s="21"/>
      <c r="B34" s="22"/>
      <c r="C34" s="22"/>
      <c r="D34" s="23">
        <f t="shared" si="0"/>
        <v>2.750000000000001</v>
      </c>
      <c r="E34" s="24"/>
      <c r="G34" t="s">
        <v>21</v>
      </c>
    </row>
    <row r="35" ht="70" customHeight="1" spans="1:7" x14ac:dyDescent="0.25">
      <c r="A35" s="21"/>
      <c r="B35" s="22"/>
      <c r="C35" s="22"/>
      <c r="D35" s="23">
        <f t="shared" si="0"/>
        <v>3.249999999999999</v>
      </c>
      <c r="E35" s="24"/>
      <c r="G35" s="25" t="s">
        <v>22</v>
      </c>
    </row>
    <row r="36" ht="98" customHeight="1" spans="1:7" x14ac:dyDescent="0.25">
      <c r="A36" s="21"/>
      <c r="B36" s="22"/>
      <c r="C36" s="22"/>
      <c r="D36" s="23">
        <f t="shared" si="0"/>
        <v>2.9999999999999987</v>
      </c>
      <c r="E36" s="24"/>
      <c r="G36" s="25" t="s">
        <v>23</v>
      </c>
    </row>
    <row r="37" ht="56" customHeight="1" spans="1:7" x14ac:dyDescent="0.25">
      <c r="A37" s="21"/>
      <c r="B37" s="22"/>
      <c r="C37" s="22"/>
      <c r="D37" s="23">
        <f t="shared" si="0"/>
        <v>3</v>
      </c>
      <c r="E37" s="24"/>
      <c r="G37" t="s">
        <v>24</v>
      </c>
    </row>
    <row r="38" spans="1:7" x14ac:dyDescent="0.25">
      <c r="A38" s="21"/>
      <c r="B38" s="22"/>
      <c r="C38" s="22"/>
      <c r="D38" s="23">
        <f t="shared" si="0"/>
        <v>0</v>
      </c>
      <c r="E38" s="24"/>
      <c r="G38" s="25" t="s">
        <v>25</v>
      </c>
    </row>
    <row r="39" spans="1:7" x14ac:dyDescent="0.25">
      <c r="A39" s="21"/>
      <c r="B39" s="22"/>
      <c r="C39" s="22"/>
      <c r="D39" s="23">
        <f t="shared" si="0"/>
        <v>0</v>
      </c>
      <c r="E39" s="24"/>
      <c r="G39" t="s">
        <v>26</v>
      </c>
    </row>
    <row r="40" spans="1:7" x14ac:dyDescent="0.25">
      <c r="A40" s="21"/>
      <c r="B40" s="22"/>
      <c r="C40" s="22"/>
      <c r="D40" s="23">
        <f t="shared" si="0"/>
        <v>0</v>
      </c>
      <c r="E40" s="24"/>
      <c r="G40" t="s">
        <v>27</v>
      </c>
    </row>
    <row r="41" spans="1:7" x14ac:dyDescent="0.25">
      <c r="A41" s="21"/>
      <c r="B41" s="22"/>
      <c r="C41" s="22"/>
      <c r="D41" s="23">
        <f t="shared" si="0"/>
        <v>0</v>
      </c>
      <c r="E41" s="24"/>
      <c r="G41" s="25" t="s">
        <v>28</v>
      </c>
    </row>
    <row r="42" spans="1:7" x14ac:dyDescent="0.25">
      <c r="A42" s="21"/>
      <c r="B42" s="22"/>
      <c r="C42" s="22"/>
      <c r="D42" s="23">
        <f t="shared" si="0"/>
        <v>0</v>
      </c>
      <c r="E42" s="24"/>
      <c r="G42" t="s">
        <v>29</v>
      </c>
    </row>
    <row r="43" spans="1:7" x14ac:dyDescent="0.25">
      <c r="A43" s="21"/>
      <c r="B43" s="22"/>
      <c r="C43" s="22"/>
      <c r="D43" s="23">
        <f t="shared" si="0"/>
        <v>0</v>
      </c>
      <c r="E43" s="24"/>
      <c r="G43" t="s">
        <v>30</v>
      </c>
    </row>
    <row r="44" spans="1:7" x14ac:dyDescent="0.25">
      <c r="A44" s="21"/>
      <c r="B44" s="22"/>
      <c r="C44" s="22"/>
      <c r="D44" s="23">
        <f t="shared" si="0"/>
        <v>0</v>
      </c>
      <c r="E44" s="24"/>
      <c r="G44" t="s">
        <v>31</v>
      </c>
    </row>
    <row r="45" spans="1:5" x14ac:dyDescent="0.25">
      <c r="A45" s="21"/>
      <c r="B45" s="22"/>
      <c r="C45" s="22"/>
      <c r="D45" s="23">
        <f t="shared" si="0"/>
        <v>0</v>
      </c>
      <c r="E45" s="24"/>
    </row>
    <row r="46" spans="1:5" x14ac:dyDescent="0.25">
      <c r="A46" s="21"/>
      <c r="B46" s="22"/>
      <c r="C46" s="22"/>
      <c r="D46" s="23">
        <f t="shared" si="0"/>
        <v>0</v>
      </c>
      <c r="E46" s="24"/>
    </row>
    <row r="47" spans="1:5" x14ac:dyDescent="0.25">
      <c r="A47" s="21"/>
      <c r="B47" s="22"/>
      <c r="C47" s="22"/>
      <c r="D47" s="23">
        <f t="shared" si="0"/>
        <v>0</v>
      </c>
      <c r="E47" s="24"/>
    </row>
    <row r="48" spans="1:7" x14ac:dyDescent="0.25">
      <c r="A48" s="21"/>
      <c r="B48" s="22"/>
      <c r="C48" s="22"/>
      <c r="D48" s="23">
        <f t="shared" si="0"/>
        <v>0</v>
      </c>
      <c r="E48" s="24"/>
      <c r="G48" s="3" t="s">
        <v>32</v>
      </c>
    </row>
    <row r="49" spans="1:5" x14ac:dyDescent="0.25">
      <c r="A49" s="21"/>
      <c r="B49" s="22"/>
      <c r="C49" s="22"/>
      <c r="D49" s="23">
        <f t="shared" si="0"/>
        <v>0</v>
      </c>
      <c r="E49" s="24"/>
    </row>
    <row r="50" spans="1:5" x14ac:dyDescent="0.25">
      <c r="A50" s="21"/>
      <c r="B50" s="22"/>
      <c r="C50" s="22"/>
      <c r="D50" s="23">
        <f t="shared" si="0"/>
        <v>0</v>
      </c>
      <c r="E50" s="24"/>
    </row>
    <row r="51" spans="1:5" x14ac:dyDescent="0.25">
      <c r="A51" s="21"/>
      <c r="B51" s="22"/>
      <c r="C51" s="22"/>
      <c r="D51" s="23">
        <f t="shared" si="0"/>
        <v>0</v>
      </c>
      <c r="E51" s="24"/>
    </row>
    <row r="52" spans="1:5" x14ac:dyDescent="0.25">
      <c r="A52" s="21"/>
      <c r="B52" s="22"/>
      <c r="C52" s="22"/>
      <c r="D52" s="23">
        <f t="shared" si="0"/>
        <v>0</v>
      </c>
      <c r="E52" s="24"/>
    </row>
    <row r="53" spans="1:5" x14ac:dyDescent="0.25">
      <c r="A53" s="21"/>
      <c r="B53" s="22"/>
      <c r="C53" s="22"/>
      <c r="D53" s="23">
        <f t="shared" si="0"/>
        <v>0</v>
      </c>
      <c r="E53" s="24"/>
    </row>
    <row r="54" spans="1:5" x14ac:dyDescent="0.25">
      <c r="A54" s="21"/>
      <c r="B54" s="22"/>
      <c r="C54" s="22"/>
      <c r="D54" s="23">
        <f t="shared" si="0"/>
        <v>0</v>
      </c>
      <c r="E54" s="24"/>
    </row>
    <row r="55" spans="1:5" x14ac:dyDescent="0.25">
      <c r="A55" s="26"/>
      <c r="B55" s="27"/>
      <c r="C55" s="27"/>
      <c r="D55" s="28"/>
      <c r="E55" s="29"/>
    </row>
    <row r="56" spans="1:5" x14ac:dyDescent="0.25">
      <c r="A56" s="30"/>
      <c r="B56" s="31"/>
      <c r="C56" s="31"/>
      <c r="D56" s="32"/>
      <c r="E56" s="33"/>
    </row>
    <row r="58" spans="1:1" x14ac:dyDescent="0.25">
      <c r="A58" s="34" t="s">
        <v>33</v>
      </c>
    </row>
    <row r="61" spans="1:3" x14ac:dyDescent="0.25">
      <c r="A61" t="s">
        <v>34</v>
      </c>
      <c r="C61" s="35">
        <f>SUM(D30:D54)</f>
        <v>24.25</v>
      </c>
    </row>
    <row r="62" spans="1:3" x14ac:dyDescent="0.25">
      <c r="A62" s="36" t="s">
        <v>35</v>
      </c>
      <c r="B62" s="36"/>
      <c r="C62" s="37">
        <f>E22</f>
        <v>73.89</v>
      </c>
    </row>
    <row r="63" ht="14.5" customHeight="1" spans="1:3" x14ac:dyDescent="0.25">
      <c r="A63" s="3" t="s">
        <v>36</v>
      </c>
      <c r="C63" s="38">
        <f>C61*C62</f>
        <v>1791.8325</v>
      </c>
    </row>
    <row r="64" ht="14.5" customHeight="1" spans="1:2" x14ac:dyDescent="0.25">
      <c r="A64" s="3"/>
      <c r="B64" s="3"/>
    </row>
    <row r="69" spans="1:3" x14ac:dyDescent="0.25">
      <c r="A69" s="39"/>
      <c r="B69" s="40"/>
      <c r="C69" s="40"/>
    </row>
    <row r="70" spans="1:2" x14ac:dyDescent="0.25">
      <c r="A70" t="s">
        <v>12</v>
      </c>
      <c r="B70" t="s">
        <v>37</v>
      </c>
    </row>
  </sheetData>
  <sheetProtection sheet="1" selectLockedCells="1" insertRows="0" deleteRows="0"/>
  <mergeCells count="11">
    <mergeCell ref="A6:D6"/>
    <mergeCell ref="A8:D8"/>
    <mergeCell ref="A10:D10"/>
    <mergeCell ref="A12:D12"/>
    <mergeCell ref="A14:D14"/>
    <mergeCell ref="A16:D16"/>
    <mergeCell ref="A18:D18"/>
    <mergeCell ref="A20:D20"/>
    <mergeCell ref="A22:D22"/>
    <mergeCell ref="A24:D24"/>
    <mergeCell ref="B69:C69"/>
  </mergeCells>
  <pageMargins left="0.7086614173228347" right="0.7086614173228347" top="0.7874015748031497" bottom="0.7874015748031497" header="0.31496062992125984" footer="0.31496062992125984"/>
  <pageSetup paperSize="9" orientation="portrait" horizontalDpi="4294967295" verticalDpi="4294967295" scale="97" fitToWidth="1" fitToHeight="99" firstPageNumber="1" useFirstPageNumber="1" copies="1"/>
  <headerFooter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</vt:lpstr>
    </vt:vector>
  </TitlesOfParts>
  <Company>Stadt Regensburg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Bauer, Sabine</dc:creator>
  <cp:lastModifiedBy>Stefan Plötz</cp:lastModifiedBy>
  <cp:lastPrinted>2024-12-16T13:07:55Z</cp:lastPrinted>
  <dcterms:created xsi:type="dcterms:W3CDTF">2014-03-25T11:46:56Z</dcterms:created>
  <dcterms:modified xsi:type="dcterms:W3CDTF">2026-08-02T20:21:02Z</dcterms:modified>
</cp:coreProperties>
</file>